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ودجه و انحر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Vazirmatn"/>
      <b val="1"/>
      <sz val="14"/>
    </font>
    <font>
      <name val="Vazirmatn"/>
      <color rgb="005D6168"/>
      <sz val="9"/>
    </font>
    <font>
      <name val="Vazirmatn"/>
      <b val="1"/>
    </font>
    <font>
      <name val="Vazirmatn"/>
      <color rgb="001F4FB4"/>
    </font>
    <font>
      <name val="Vazirmatn"/>
    </font>
  </fonts>
  <fills count="4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3" fontId="4" fillId="2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بودجه و تحلیل انحراف ماهانه</t>
        </is>
      </c>
    </row>
    <row r="2">
      <c r="A2" s="2" t="inlineStr">
        <is>
          <t>بودجه و واقعی هر ماه را در خانه‌های زرد وارد کنید. ردیف‌های هزینه با علامت مثبت وارد شوند. مبالغ به میلیون تومان. kmazraee.ir</t>
        </is>
      </c>
    </row>
    <row r="4">
      <c r="A4" s="3" t="inlineStr">
        <is>
          <t>ماه:</t>
        </is>
      </c>
      <c r="B4" s="4" t="inlineStr">
        <is>
          <t>مهر</t>
        </is>
      </c>
    </row>
    <row r="6">
      <c r="A6" s="5" t="inlineStr">
        <is>
          <t>ردیف</t>
        </is>
      </c>
      <c r="B6" s="5" t="inlineStr">
        <is>
          <t>بودجه</t>
        </is>
      </c>
      <c r="C6" s="5" t="inlineStr">
        <is>
          <t>واقعی</t>
        </is>
      </c>
      <c r="D6" s="5" t="inlineStr">
        <is>
          <t>انحراف</t>
        </is>
      </c>
      <c r="E6" s="5" t="inlineStr">
        <is>
          <t>درصد انحراف</t>
        </is>
      </c>
    </row>
    <row r="7">
      <c r="A7" s="6" t="inlineStr">
        <is>
          <t>فروش</t>
        </is>
      </c>
      <c r="B7" s="7" t="n">
        <v>5000</v>
      </c>
      <c r="C7" s="7" t="n">
        <v>4600</v>
      </c>
      <c r="D7" s="8">
        <f>C7-B7</f>
        <v/>
      </c>
      <c r="E7" s="9">
        <f>IF(B7=0,"",D7/ABS(B7))</f>
        <v/>
      </c>
    </row>
    <row r="8">
      <c r="A8" s="6" t="inlineStr">
        <is>
          <t>بهای تمام‌شده</t>
        </is>
      </c>
      <c r="B8" s="7" t="n">
        <v>3000</v>
      </c>
      <c r="C8" s="7" t="n">
        <v>2850</v>
      </c>
      <c r="D8" s="8">
        <f>B8-C8</f>
        <v/>
      </c>
      <c r="E8" s="9">
        <f>IF(B8=0,"",D8/ABS(B8))</f>
        <v/>
      </c>
    </row>
    <row r="9">
      <c r="A9" s="3" t="inlineStr">
        <is>
          <t>سود ناخالص</t>
        </is>
      </c>
      <c r="B9" s="10">
        <f>B7-B8</f>
        <v/>
      </c>
      <c r="C9" s="10">
        <f>C7-C8</f>
        <v/>
      </c>
      <c r="D9" s="10">
        <f>C9-B9</f>
        <v/>
      </c>
      <c r="E9" s="9">
        <f>IF(B9=0,"",D9/ABS(B9))</f>
        <v/>
      </c>
    </row>
    <row r="10">
      <c r="A10" s="6" t="inlineStr">
        <is>
          <t>حقوق و دستمزد</t>
        </is>
      </c>
      <c r="B10" s="7" t="n">
        <v>600</v>
      </c>
      <c r="C10" s="7" t="n">
        <v>640</v>
      </c>
      <c r="D10" s="8">
        <f>B10-C10</f>
        <v/>
      </c>
      <c r="E10" s="9">
        <f>IF(B10=0,"",D10/ABS(B10))</f>
        <v/>
      </c>
    </row>
    <row r="11">
      <c r="A11" s="6" t="inlineStr">
        <is>
          <t>اجاره و سربار</t>
        </is>
      </c>
      <c r="B11" s="7" t="n">
        <v>250</v>
      </c>
      <c r="C11" s="7" t="n">
        <v>240</v>
      </c>
      <c r="D11" s="8">
        <f>B11-C11</f>
        <v/>
      </c>
      <c r="E11" s="9">
        <f>IF(B11=0,"",D11/ABS(B11))</f>
        <v/>
      </c>
    </row>
    <row r="12">
      <c r="A12" s="6" t="inlineStr">
        <is>
          <t>بازاریابی و فروش</t>
        </is>
      </c>
      <c r="B12" s="7" t="n">
        <v>300</v>
      </c>
      <c r="C12" s="7" t="n">
        <v>360</v>
      </c>
      <c r="D12" s="8">
        <f>B12-C12</f>
        <v/>
      </c>
      <c r="E12" s="9">
        <f>IF(B12=0,"",D12/ABS(B12))</f>
        <v/>
      </c>
    </row>
    <row r="13">
      <c r="A13" s="6" t="inlineStr">
        <is>
          <t>هزینه‌های اداری</t>
        </is>
      </c>
      <c r="B13" s="7" t="n">
        <v>150</v>
      </c>
      <c r="C13" s="7" t="n">
        <v>145</v>
      </c>
      <c r="D13" s="8">
        <f>B13-C13</f>
        <v/>
      </c>
      <c r="E13" s="9">
        <f>IF(B13=0,"",D13/ABS(B13))</f>
        <v/>
      </c>
    </row>
    <row r="14">
      <c r="A14" s="3" t="inlineStr">
        <is>
          <t>سود عملیاتی</t>
        </is>
      </c>
      <c r="B14" s="10">
        <f>B9-SUM(B10:B13)</f>
        <v/>
      </c>
      <c r="C14" s="10">
        <f>C9-SUM(C10:C13)</f>
        <v/>
      </c>
      <c r="D14" s="10">
        <f>C14-B14</f>
        <v/>
      </c>
      <c r="E14" s="9">
        <f>IF(B14=0,"",D14/ABS(B14))</f>
        <v/>
      </c>
    </row>
    <row r="16">
      <c r="A16" s="2" t="inlineStr">
        <is>
          <t>انحراف مثبت یعنی مطلوب (فروش یا سود بیشتر، هزینه‌ی کمتر از بودجه)؛ منفی یعنی نامطلوب.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2026-10-29T20:28:32Z</dcterms:created>
  <dcterms:modified xmlns:dcterms="http://purl.org/dc/terms/" xmlns:xsi="http://www.w3.org/2001/XMLSchema-instance" xsi:type="dcterms:W3CDTF">2026-10-29T20:28:32Z</dcterms:modified>
</cp:coreProperties>
</file>