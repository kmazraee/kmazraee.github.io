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جریان نقد ۱۳ هفت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Vazirmatn"/>
      <b val="1"/>
      <sz val="14"/>
    </font>
    <font>
      <name val="Vazirmatn"/>
      <color rgb="005D6168"/>
      <sz val="9"/>
    </font>
    <font>
      <name val="Vazirmatn"/>
      <b val="1"/>
    </font>
    <font>
      <name val="Vazirmatn"/>
    </font>
    <font>
      <name val="Vazirmatn"/>
      <color rgb="001F4FB4"/>
    </font>
  </fonts>
  <fills count="4">
    <fill>
      <patternFill/>
    </fill>
    <fill>
      <patternFill patternType="gray125"/>
    </fill>
    <fill>
      <patternFill patternType="solid">
        <fgColor rgb="00E6F0EE"/>
      </patternFill>
    </fill>
    <fill>
      <patternFill patternType="solid">
        <fgColor rgb="00FFF7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3" fontId="5" fillId="3" borderId="0" applyAlignment="1" pivotButton="0" quotePrefix="0" xfId="0">
      <alignment vertical="center"/>
    </xf>
    <xf numFmtId="3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right" vertical="center"/>
    </xf>
    <xf numFmtId="3" fontId="3" fillId="0" borderId="0" applyAlignment="1" pivotButton="0" quotePrefix="0" xfId="0">
      <alignment vertical="center"/>
    </xf>
    <xf numFmtId="3" fontId="3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" t="inlineStr">
        <is>
          <t>پیش‌بینی جریان نقد ۱۳ هفته‌ای</t>
        </is>
      </c>
    </row>
    <row r="2">
      <c r="A2" s="2" t="inlineStr">
        <is>
          <t>مانده‌ی ابتدای هفته‌ی اول و برآورد ورودی و خروجی هر هفته را در خانه‌های زرد وارد کنید. مبالغ به میلیون تومان. kmazraee.ir</t>
        </is>
      </c>
    </row>
    <row r="4">
      <c r="A4" s="3" t="inlineStr">
        <is>
          <t>هفته</t>
        </is>
      </c>
      <c r="B4" s="4" t="n">
        <v>1</v>
      </c>
      <c r="C4" s="4" t="n">
        <v>2</v>
      </c>
      <c r="D4" s="4" t="n">
        <v>3</v>
      </c>
      <c r="E4" s="4" t="n">
        <v>4</v>
      </c>
      <c r="F4" s="4" t="n">
        <v>5</v>
      </c>
      <c r="G4" s="4" t="n">
        <v>6</v>
      </c>
      <c r="H4" s="4" t="n">
        <v>7</v>
      </c>
      <c r="I4" s="4" t="n">
        <v>8</v>
      </c>
      <c r="J4" s="4" t="n">
        <v>9</v>
      </c>
      <c r="K4" s="4" t="n">
        <v>10</v>
      </c>
      <c r="L4" s="4" t="n">
        <v>11</v>
      </c>
      <c r="M4" s="4" t="n">
        <v>12</v>
      </c>
      <c r="N4" s="4" t="n">
        <v>13</v>
      </c>
      <c r="O4" s="3" t="inlineStr">
        <is>
          <t>جمع</t>
        </is>
      </c>
    </row>
    <row r="5">
      <c r="A5" s="5" t="inlineStr">
        <is>
          <t>مانده‌ی ابتدای هفته</t>
        </is>
      </c>
      <c r="B5" s="6" t="n">
        <v>1200</v>
      </c>
      <c r="C5" s="7">
        <f>B16</f>
        <v/>
      </c>
      <c r="D5" s="7">
        <f>C16</f>
        <v/>
      </c>
      <c r="E5" s="7">
        <f>D16</f>
        <v/>
      </c>
      <c r="F5" s="7">
        <f>E16</f>
        <v/>
      </c>
      <c r="G5" s="7">
        <f>F16</f>
        <v/>
      </c>
      <c r="H5" s="7">
        <f>G16</f>
        <v/>
      </c>
      <c r="I5" s="7">
        <f>H16</f>
        <v/>
      </c>
      <c r="J5" s="7">
        <f>I16</f>
        <v/>
      </c>
      <c r="K5" s="7">
        <f>J16</f>
        <v/>
      </c>
      <c r="L5" s="7">
        <f>K16</f>
        <v/>
      </c>
      <c r="M5" s="7">
        <f>L16</f>
        <v/>
      </c>
      <c r="N5" s="7">
        <f>M16</f>
        <v/>
      </c>
    </row>
    <row r="6">
      <c r="A6" s="8" t="inlineStr">
        <is>
          <t>وصول از مشتریان</t>
        </is>
      </c>
      <c r="B6" s="6" t="n">
        <v>900</v>
      </c>
      <c r="C6" s="6" t="n">
        <v>900</v>
      </c>
      <c r="D6" s="6" t="n">
        <v>900</v>
      </c>
      <c r="E6" s="6" t="n">
        <v>900</v>
      </c>
      <c r="F6" s="6" t="n">
        <v>900</v>
      </c>
      <c r="G6" s="6" t="n">
        <v>900</v>
      </c>
      <c r="H6" s="6" t="n">
        <v>900</v>
      </c>
      <c r="I6" s="6" t="n">
        <v>900</v>
      </c>
      <c r="J6" s="6" t="n">
        <v>900</v>
      </c>
      <c r="K6" s="6" t="n">
        <v>900</v>
      </c>
      <c r="L6" s="6" t="n">
        <v>900</v>
      </c>
      <c r="M6" s="6" t="n">
        <v>900</v>
      </c>
      <c r="N6" s="6" t="n">
        <v>900</v>
      </c>
      <c r="O6" s="9">
        <f>SUM(B6:N6)</f>
        <v/>
      </c>
    </row>
    <row r="7">
      <c r="A7" s="8" t="inlineStr">
        <is>
          <t>سایر دریافت‌ها</t>
        </is>
      </c>
      <c r="B7" s="6" t="n">
        <v>50</v>
      </c>
      <c r="C7" s="6" t="n">
        <v>50</v>
      </c>
      <c r="D7" s="6" t="n">
        <v>50</v>
      </c>
      <c r="E7" s="6" t="n">
        <v>50</v>
      </c>
      <c r="F7" s="6" t="n">
        <v>50</v>
      </c>
      <c r="G7" s="6" t="n">
        <v>50</v>
      </c>
      <c r="H7" s="6" t="n">
        <v>50</v>
      </c>
      <c r="I7" s="6" t="n">
        <v>50</v>
      </c>
      <c r="J7" s="6" t="n">
        <v>50</v>
      </c>
      <c r="K7" s="6" t="n">
        <v>50</v>
      </c>
      <c r="L7" s="6" t="n">
        <v>50</v>
      </c>
      <c r="M7" s="6" t="n">
        <v>50</v>
      </c>
      <c r="N7" s="6" t="n">
        <v>50</v>
      </c>
      <c r="O7" s="9">
        <f>SUM(B7:N7)</f>
        <v/>
      </c>
    </row>
    <row r="8">
      <c r="A8" s="5" t="inlineStr">
        <is>
          <t>جمع دریافت‌ها</t>
        </is>
      </c>
      <c r="B8" s="9">
        <f>SUM(B6:B7)</f>
        <v/>
      </c>
      <c r="C8" s="9">
        <f>SUM(C6:C7)</f>
        <v/>
      </c>
      <c r="D8" s="9">
        <f>SUM(D6:D7)</f>
        <v/>
      </c>
      <c r="E8" s="9">
        <f>SUM(E6:E7)</f>
        <v/>
      </c>
      <c r="F8" s="9">
        <f>SUM(F6:F7)</f>
        <v/>
      </c>
      <c r="G8" s="9">
        <f>SUM(G6:G7)</f>
        <v/>
      </c>
      <c r="H8" s="9">
        <f>SUM(H6:H7)</f>
        <v/>
      </c>
      <c r="I8" s="9">
        <f>SUM(I6:I7)</f>
        <v/>
      </c>
      <c r="J8" s="9">
        <f>SUM(J6:J7)</f>
        <v/>
      </c>
      <c r="K8" s="9">
        <f>SUM(K6:K7)</f>
        <v/>
      </c>
      <c r="L8" s="9">
        <f>SUM(L6:L7)</f>
        <v/>
      </c>
      <c r="M8" s="9">
        <f>SUM(M6:M7)</f>
        <v/>
      </c>
      <c r="N8" s="9">
        <f>SUM(N6:N7)</f>
        <v/>
      </c>
      <c r="O8" s="9">
        <f>SUM(B8:N8)</f>
        <v/>
      </c>
    </row>
    <row r="9">
      <c r="A9" s="8" t="inlineStr">
        <is>
          <t>پرداخت به تأمین‌کنندگان</t>
        </is>
      </c>
      <c r="B9" s="6" t="n">
        <v>600</v>
      </c>
      <c r="C9" s="6" t="n">
        <v>600</v>
      </c>
      <c r="D9" s="6" t="n">
        <v>600</v>
      </c>
      <c r="E9" s="6" t="n">
        <v>600</v>
      </c>
      <c r="F9" s="6" t="n">
        <v>600</v>
      </c>
      <c r="G9" s="6" t="n">
        <v>600</v>
      </c>
      <c r="H9" s="6" t="n">
        <v>600</v>
      </c>
      <c r="I9" s="6" t="n">
        <v>600</v>
      </c>
      <c r="J9" s="6" t="n">
        <v>600</v>
      </c>
      <c r="K9" s="6" t="n">
        <v>600</v>
      </c>
      <c r="L9" s="6" t="n">
        <v>600</v>
      </c>
      <c r="M9" s="6" t="n">
        <v>600</v>
      </c>
      <c r="N9" s="6" t="n">
        <v>600</v>
      </c>
      <c r="O9" s="9">
        <f>SUM(B9:N9)</f>
        <v/>
      </c>
    </row>
    <row r="10">
      <c r="A10" s="8" t="inlineStr">
        <is>
          <t>حقوق و دستمزد</t>
        </is>
      </c>
      <c r="B10" s="6" t="n">
        <v>0</v>
      </c>
      <c r="C10" s="6" t="n">
        <v>0</v>
      </c>
      <c r="D10" s="6" t="n">
        <v>0</v>
      </c>
      <c r="E10" s="6" t="n">
        <v>1000</v>
      </c>
      <c r="F10" s="6" t="n">
        <v>0</v>
      </c>
      <c r="G10" s="6" t="n">
        <v>0</v>
      </c>
      <c r="H10" s="6" t="n">
        <v>0</v>
      </c>
      <c r="I10" s="6" t="n">
        <v>1000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1000</v>
      </c>
      <c r="O10" s="9">
        <f>SUM(B10:N10)</f>
        <v/>
      </c>
    </row>
    <row r="11">
      <c r="A11" s="8" t="inlineStr">
        <is>
          <t>اجاره و هزینه‌های جاری</t>
        </is>
      </c>
      <c r="B11" s="6" t="n">
        <v>80</v>
      </c>
      <c r="C11" s="6" t="n">
        <v>80</v>
      </c>
      <c r="D11" s="6" t="n">
        <v>80</v>
      </c>
      <c r="E11" s="6" t="n">
        <v>80</v>
      </c>
      <c r="F11" s="6" t="n">
        <v>80</v>
      </c>
      <c r="G11" s="6" t="n">
        <v>80</v>
      </c>
      <c r="H11" s="6" t="n">
        <v>80</v>
      </c>
      <c r="I11" s="6" t="n">
        <v>80</v>
      </c>
      <c r="J11" s="6" t="n">
        <v>80</v>
      </c>
      <c r="K11" s="6" t="n">
        <v>80</v>
      </c>
      <c r="L11" s="6" t="n">
        <v>80</v>
      </c>
      <c r="M11" s="6" t="n">
        <v>80</v>
      </c>
      <c r="N11" s="6" t="n">
        <v>80</v>
      </c>
      <c r="O11" s="9">
        <f>SUM(B11:N11)</f>
        <v/>
      </c>
    </row>
    <row r="12">
      <c r="A12" s="8" t="inlineStr">
        <is>
          <t>مالیات و بیمه</t>
        </is>
      </c>
      <c r="B12" s="6" t="n">
        <v>0</v>
      </c>
      <c r="C12" s="6" t="n">
        <v>0</v>
      </c>
      <c r="D12" s="6" t="n">
        <v>0</v>
      </c>
      <c r="E12" s="6" t="n">
        <v>0</v>
      </c>
      <c r="F12" s="6" t="n">
        <v>400</v>
      </c>
      <c r="G12" s="6" t="n">
        <v>0</v>
      </c>
      <c r="H12" s="6" t="n">
        <v>0</v>
      </c>
      <c r="I12" s="6" t="n">
        <v>0</v>
      </c>
      <c r="J12" s="6" t="n">
        <v>400</v>
      </c>
      <c r="K12" s="6" t="n">
        <v>0</v>
      </c>
      <c r="L12" s="6" t="n">
        <v>0</v>
      </c>
      <c r="M12" s="6" t="n">
        <v>0</v>
      </c>
      <c r="N12" s="6" t="n">
        <v>0</v>
      </c>
      <c r="O12" s="9">
        <f>SUM(B12:N12)</f>
        <v/>
      </c>
    </row>
    <row r="13">
      <c r="A13" s="8" t="inlineStr">
        <is>
          <t>اقساط وام</t>
        </is>
      </c>
      <c r="B13" s="6" t="n">
        <v>0</v>
      </c>
      <c r="C13" s="6" t="n">
        <v>300</v>
      </c>
      <c r="D13" s="6" t="n">
        <v>0</v>
      </c>
      <c r="E13" s="6" t="n">
        <v>0</v>
      </c>
      <c r="F13" s="6" t="n">
        <v>0</v>
      </c>
      <c r="G13" s="6" t="n">
        <v>300</v>
      </c>
      <c r="H13" s="6" t="n">
        <v>0</v>
      </c>
      <c r="I13" s="6" t="n">
        <v>0</v>
      </c>
      <c r="J13" s="6" t="n">
        <v>0</v>
      </c>
      <c r="K13" s="6" t="n">
        <v>300</v>
      </c>
      <c r="L13" s="6" t="n">
        <v>0</v>
      </c>
      <c r="M13" s="6" t="n">
        <v>0</v>
      </c>
      <c r="N13" s="6" t="n">
        <v>0</v>
      </c>
      <c r="O13" s="9">
        <f>SUM(B13:N13)</f>
        <v/>
      </c>
    </row>
    <row r="14">
      <c r="A14" s="5" t="inlineStr">
        <is>
          <t>جمع پرداخت‌ها</t>
        </is>
      </c>
      <c r="B14" s="9">
        <f>SUM(B9:B13)</f>
        <v/>
      </c>
      <c r="C14" s="9">
        <f>SUM(C9:C13)</f>
        <v/>
      </c>
      <c r="D14" s="9">
        <f>SUM(D9:D13)</f>
        <v/>
      </c>
      <c r="E14" s="9">
        <f>SUM(E9:E13)</f>
        <v/>
      </c>
      <c r="F14" s="9">
        <f>SUM(F9:F13)</f>
        <v/>
      </c>
      <c r="G14" s="9">
        <f>SUM(G9:G13)</f>
        <v/>
      </c>
      <c r="H14" s="9">
        <f>SUM(H9:H13)</f>
        <v/>
      </c>
      <c r="I14" s="9">
        <f>SUM(I9:I13)</f>
        <v/>
      </c>
      <c r="J14" s="9">
        <f>SUM(J9:J13)</f>
        <v/>
      </c>
      <c r="K14" s="9">
        <f>SUM(K9:K13)</f>
        <v/>
      </c>
      <c r="L14" s="9">
        <f>SUM(L9:L13)</f>
        <v/>
      </c>
      <c r="M14" s="9">
        <f>SUM(M9:M13)</f>
        <v/>
      </c>
      <c r="N14" s="9">
        <f>SUM(N9:N13)</f>
        <v/>
      </c>
      <c r="O14" s="9">
        <f>SUM(B14:N14)</f>
        <v/>
      </c>
    </row>
    <row r="15">
      <c r="A15" s="5" t="inlineStr">
        <is>
          <t>خالص جریان نقد هفته</t>
        </is>
      </c>
      <c r="B15" s="9">
        <f>B8-B14</f>
        <v/>
      </c>
      <c r="C15" s="9">
        <f>C8-C14</f>
        <v/>
      </c>
      <c r="D15" s="9">
        <f>D8-D14</f>
        <v/>
      </c>
      <c r="E15" s="9">
        <f>E8-E14</f>
        <v/>
      </c>
      <c r="F15" s="9">
        <f>F8-F14</f>
        <v/>
      </c>
      <c r="G15" s="9">
        <f>G8-G14</f>
        <v/>
      </c>
      <c r="H15" s="9">
        <f>H8-H14</f>
        <v/>
      </c>
      <c r="I15" s="9">
        <f>I8-I14</f>
        <v/>
      </c>
      <c r="J15" s="9">
        <f>J8-J14</f>
        <v/>
      </c>
      <c r="K15" s="9">
        <f>K8-K14</f>
        <v/>
      </c>
      <c r="L15" s="9">
        <f>L8-L14</f>
        <v/>
      </c>
      <c r="M15" s="9">
        <f>M8-M14</f>
        <v/>
      </c>
      <c r="N15" s="9">
        <f>N8-N14</f>
        <v/>
      </c>
      <c r="O15" s="9">
        <f>SUM(B15:N15)</f>
        <v/>
      </c>
    </row>
    <row r="16">
      <c r="A16" s="5" t="inlineStr">
        <is>
          <t>مانده‌ی پایان هفته</t>
        </is>
      </c>
      <c r="B16" s="10">
        <f>B5+B15</f>
        <v/>
      </c>
      <c r="C16" s="10">
        <f>C5+C15</f>
        <v/>
      </c>
      <c r="D16" s="10">
        <f>D5+D15</f>
        <v/>
      </c>
      <c r="E16" s="10">
        <f>E5+E15</f>
        <v/>
      </c>
      <c r="F16" s="10">
        <f>F5+F15</f>
        <v/>
      </c>
      <c r="G16" s="10">
        <f>G5+G15</f>
        <v/>
      </c>
      <c r="H16" s="10">
        <f>H5+H15</f>
        <v/>
      </c>
      <c r="I16" s="10">
        <f>I5+I15</f>
        <v/>
      </c>
      <c r="J16" s="10">
        <f>J5+J15</f>
        <v/>
      </c>
      <c r="K16" s="10">
        <f>K5+K15</f>
        <v/>
      </c>
      <c r="L16" s="10">
        <f>L5+L15</f>
        <v/>
      </c>
      <c r="M16" s="10">
        <f>M5+M15</f>
        <v/>
      </c>
      <c r="N16" s="10">
        <f>N5+N15</f>
        <v/>
      </c>
    </row>
    <row r="18">
      <c r="A18" s="5" t="inlineStr">
        <is>
          <t>کمترین مانده‌ی نقد در ۱۳ هفته</t>
        </is>
      </c>
      <c r="B18" s="10">
        <f>MIN(B16:N16)</f>
        <v/>
      </c>
    </row>
    <row r="19">
      <c r="A19" s="2" t="inlineStr">
        <is>
          <t>اگر کمترین مانده منفی شد، در آن هفته کسری نقدینگی دارید و باید زودتر برای تأمین مالی برنامه بریزید.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2026-10-29T20:28:32Z</dcterms:created>
  <dcterms:modified xmlns:dcterms="http://purl.org/dc/terms/" xmlns:xsi="http://www.w3.org/2001/XMLSchema-instance" xsi:type="dcterms:W3CDTF">2026-10-29T20:28:32Z</dcterms:modified>
</cp:coreProperties>
</file>