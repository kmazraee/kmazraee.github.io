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6">
    <font>
      <name val="Calibri"/>
      <family val="2"/>
      <color theme="1"/>
      <sz val="11"/>
      <scheme val="minor"/>
    </font>
    <font>
      <name val="Vazirmatn"/>
      <b val="1"/>
      <sz val="14"/>
    </font>
    <font>
      <name val="Vazirmatn"/>
      <color rgb="005D6168"/>
      <sz val="9"/>
    </font>
    <font>
      <name val="Vazirmatn"/>
      <b val="1"/>
    </font>
    <font>
      <name val="Vazirmatn"/>
    </font>
    <font>
      <name val="Vazirmatn"/>
      <color rgb="001F4FB4"/>
    </font>
  </fonts>
  <fills count="4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E6F0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3" fontId="5" fillId="2" borderId="0" applyAlignment="1" pivotButton="0" quotePrefix="0" xfId="0">
      <alignment vertical="center"/>
    </xf>
    <xf numFmtId="164" fontId="5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3" fontId="3" fillId="3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ارزش‌گذاری به روش جریان نقد تنزیل‌شده (DCF)</t>
        </is>
      </c>
    </row>
    <row r="2">
      <c r="A2" s="2" t="inlineStr">
        <is>
          <t>خانه‌های زرد ورودی‌اند؛ بقیه با فرمول حساب می‌شوند. مبالغ به میلیارد تومان. kmazraee.ir</t>
        </is>
      </c>
    </row>
    <row r="4">
      <c r="A4" s="3" t="inlineStr">
        <is>
          <t>ورودی‌ها</t>
        </is>
      </c>
    </row>
    <row r="5">
      <c r="A5" s="4" t="inlineStr">
        <is>
          <t>فروش سال پایه</t>
        </is>
      </c>
      <c r="B5" s="5" t="n">
        <v>1000</v>
      </c>
    </row>
    <row r="6">
      <c r="A6" s="4" t="inlineStr">
        <is>
          <t>رشد سالانه‌ی فروش</t>
        </is>
      </c>
      <c r="B6" s="6" t="n">
        <v>0.25</v>
      </c>
    </row>
    <row r="7">
      <c r="A7" s="4" t="inlineStr">
        <is>
          <t>حاشیه‌ی سود عملیاتی (EBIT)</t>
        </is>
      </c>
      <c r="B7" s="6" t="n">
        <v>0.2</v>
      </c>
    </row>
    <row r="8">
      <c r="A8" s="4" t="inlineStr">
        <is>
          <t>نرخ مالیات</t>
        </is>
      </c>
      <c r="B8" s="6" t="n">
        <v>0.25</v>
      </c>
    </row>
    <row r="9">
      <c r="A9" s="4" t="inlineStr">
        <is>
          <t>استهلاک (درصد فروش)</t>
        </is>
      </c>
      <c r="B9" s="6" t="n">
        <v>0.04</v>
      </c>
    </row>
    <row r="10">
      <c r="A10" s="4" t="inlineStr">
        <is>
          <t>مخارج سرمایه‌ای (درصد فروش)</t>
        </is>
      </c>
      <c r="B10" s="6" t="n">
        <v>0.06</v>
      </c>
    </row>
    <row r="11">
      <c r="A11" s="4" t="inlineStr">
        <is>
          <t>افزایش سرمایه‌ی در گردش (درصد تغییر فروش)</t>
        </is>
      </c>
      <c r="B11" s="6" t="n">
        <v>0.15</v>
      </c>
    </row>
    <row r="12">
      <c r="A12" s="4" t="inlineStr">
        <is>
          <t>WACC</t>
        </is>
      </c>
      <c r="B12" s="6" t="n">
        <v>0.3</v>
      </c>
    </row>
    <row r="13">
      <c r="A13" s="4" t="inlineStr">
        <is>
          <t>رشد بلندمدت (ارزش پایانی)</t>
        </is>
      </c>
      <c r="B13" s="6" t="n">
        <v>0.2</v>
      </c>
    </row>
    <row r="14">
      <c r="A14" s="4" t="inlineStr">
        <is>
          <t>خالص بدهی</t>
        </is>
      </c>
      <c r="B14" s="5" t="n">
        <v>300</v>
      </c>
    </row>
    <row r="15">
      <c r="A15" s="4" t="inlineStr">
        <is>
          <t>تعداد سهام (میلیون)</t>
        </is>
      </c>
      <c r="B15" s="5" t="n">
        <v>100</v>
      </c>
    </row>
    <row r="17">
      <c r="A17" s="3" t="inlineStr">
        <is>
          <t>پیش‌بینی</t>
        </is>
      </c>
    </row>
    <row r="18">
      <c r="A18" s="3" t="inlineStr">
        <is>
          <t>سال</t>
        </is>
      </c>
      <c r="B18" s="7" t="n">
        <v>1</v>
      </c>
      <c r="C18" s="7" t="n">
        <v>2</v>
      </c>
      <c r="D18" s="7" t="n">
        <v>3</v>
      </c>
      <c r="E18" s="7" t="n">
        <v>4</v>
      </c>
      <c r="F18" s="7" t="n">
        <v>5</v>
      </c>
    </row>
    <row r="19">
      <c r="A19" s="4" t="inlineStr">
        <is>
          <t>فروش</t>
        </is>
      </c>
      <c r="B19" s="8">
        <f>$B$5*(1+$B$6)^B18</f>
        <v/>
      </c>
      <c r="C19" s="8">
        <f>$B$5*(1+$B$6)^C18</f>
        <v/>
      </c>
      <c r="D19" s="8">
        <f>$B$5*(1+$B$6)^D18</f>
        <v/>
      </c>
      <c r="E19" s="8">
        <f>$B$5*(1+$B$6)^E18</f>
        <v/>
      </c>
      <c r="F19" s="8">
        <f>$B$5*(1+$B$6)^F18</f>
        <v/>
      </c>
    </row>
    <row r="20">
      <c r="A20" s="4" t="inlineStr">
        <is>
          <t>سود عملیاتی (EBIT)</t>
        </is>
      </c>
      <c r="B20" s="8">
        <f>B19*$B$7</f>
        <v/>
      </c>
      <c r="C20" s="8">
        <f>C19*$B$7</f>
        <v/>
      </c>
      <c r="D20" s="8">
        <f>D19*$B$7</f>
        <v/>
      </c>
      <c r="E20" s="8">
        <f>E19*$B$7</f>
        <v/>
      </c>
      <c r="F20" s="8">
        <f>F19*$B$7</f>
        <v/>
      </c>
    </row>
    <row r="21">
      <c r="A21" s="4" t="inlineStr">
        <is>
          <t>EBIT پس از مالیات</t>
        </is>
      </c>
      <c r="B21" s="8">
        <f>B20*(1-$B$8)</f>
        <v/>
      </c>
      <c r="C21" s="8">
        <f>C20*(1-$B$8)</f>
        <v/>
      </c>
      <c r="D21" s="8">
        <f>D20*(1-$B$8)</f>
        <v/>
      </c>
      <c r="E21" s="8">
        <f>E20*(1-$B$8)</f>
        <v/>
      </c>
      <c r="F21" s="8">
        <f>F20*(1-$B$8)</f>
        <v/>
      </c>
    </row>
    <row r="22">
      <c r="A22" s="4" t="inlineStr">
        <is>
          <t>+ استهلاک</t>
        </is>
      </c>
      <c r="B22" s="8">
        <f>B19*$B$9</f>
        <v/>
      </c>
      <c r="C22" s="8">
        <f>C19*$B$9</f>
        <v/>
      </c>
      <c r="D22" s="8">
        <f>D19*$B$9</f>
        <v/>
      </c>
      <c r="E22" s="8">
        <f>E19*$B$9</f>
        <v/>
      </c>
      <c r="F22" s="8">
        <f>F19*$B$9</f>
        <v/>
      </c>
    </row>
    <row r="23">
      <c r="A23" s="4" t="inlineStr">
        <is>
          <t>− مخارج سرمایه‌ای</t>
        </is>
      </c>
      <c r="B23" s="8">
        <f>B19*$B$10</f>
        <v/>
      </c>
      <c r="C23" s="8">
        <f>C19*$B$10</f>
        <v/>
      </c>
      <c r="D23" s="8">
        <f>D19*$B$10</f>
        <v/>
      </c>
      <c r="E23" s="8">
        <f>E19*$B$10</f>
        <v/>
      </c>
      <c r="F23" s="8">
        <f>F19*$B$10</f>
        <v/>
      </c>
    </row>
    <row r="24">
      <c r="A24" s="4" t="inlineStr">
        <is>
          <t>− افزایش سرمایه‌ی در گردش</t>
        </is>
      </c>
      <c r="B24" s="8">
        <f>(B19-$B$5)*$B$11</f>
        <v/>
      </c>
      <c r="C24" s="8">
        <f>(C19-B19)*$B$11</f>
        <v/>
      </c>
      <c r="D24" s="8">
        <f>(D19-C19)*$B$11</f>
        <v/>
      </c>
      <c r="E24" s="8">
        <f>(E19-D19)*$B$11</f>
        <v/>
      </c>
      <c r="F24" s="8">
        <f>(F19-E19)*$B$11</f>
        <v/>
      </c>
    </row>
    <row r="25">
      <c r="A25" s="3" t="inlineStr">
        <is>
          <t>جریان نقد آزاد</t>
        </is>
      </c>
      <c r="B25" s="9">
        <f>B21+B22-B23-B24</f>
        <v/>
      </c>
      <c r="C25" s="9">
        <f>C21+C22-C23-C24</f>
        <v/>
      </c>
      <c r="D25" s="9">
        <f>D21+D22-D23-D24</f>
        <v/>
      </c>
      <c r="E25" s="9">
        <f>E21+E22-E23-E24</f>
        <v/>
      </c>
      <c r="F25" s="9">
        <f>F21+F22-F23-F24</f>
        <v/>
      </c>
    </row>
    <row r="26">
      <c r="A26" s="4" t="inlineStr">
        <is>
          <t>ضریب تنزیل</t>
        </is>
      </c>
      <c r="B26" s="10">
        <f>1/(1+$B$12)^B18</f>
        <v/>
      </c>
      <c r="C26" s="10">
        <f>1/(1+$B$12)^C18</f>
        <v/>
      </c>
      <c r="D26" s="10">
        <f>1/(1+$B$12)^D18</f>
        <v/>
      </c>
      <c r="E26" s="10">
        <f>1/(1+$B$12)^E18</f>
        <v/>
      </c>
      <c r="F26" s="10">
        <f>1/(1+$B$12)^F18</f>
        <v/>
      </c>
    </row>
    <row r="27">
      <c r="A27" s="4" t="inlineStr">
        <is>
          <t>ارزش فعلی جریان نقد</t>
        </is>
      </c>
      <c r="B27" s="8">
        <f>B25*B26</f>
        <v/>
      </c>
      <c r="C27" s="8">
        <f>C25*C26</f>
        <v/>
      </c>
      <c r="D27" s="8">
        <f>D25*D26</f>
        <v/>
      </c>
      <c r="E27" s="8">
        <f>E25*E26</f>
        <v/>
      </c>
      <c r="F27" s="8">
        <f>F25*F26</f>
        <v/>
      </c>
    </row>
    <row r="29">
      <c r="A29" s="3" t="inlineStr">
        <is>
          <t>نتیجه</t>
        </is>
      </c>
    </row>
    <row r="30">
      <c r="A30" s="4" t="inlineStr">
        <is>
          <t>جمع ارزش فعلی جریان‌های نقد</t>
        </is>
      </c>
      <c r="B30" s="8">
        <f>SUM(B27:F27)</f>
        <v/>
      </c>
    </row>
    <row r="31">
      <c r="A31" s="4" t="inlineStr">
        <is>
          <t>ارزش پایانی در پایان سال ۵</t>
        </is>
      </c>
      <c r="B31" s="8">
        <f>F25*(1+B13)/(B12-B13)</f>
        <v/>
      </c>
    </row>
    <row r="32">
      <c r="A32" s="4" t="inlineStr">
        <is>
          <t>ارزش فعلی ارزش پایانی</t>
        </is>
      </c>
      <c r="B32" s="8">
        <f>B31*F26</f>
        <v/>
      </c>
    </row>
    <row r="33">
      <c r="A33" s="3" t="inlineStr">
        <is>
          <t>ارزش بنگاه (EV)</t>
        </is>
      </c>
      <c r="B33" s="9">
        <f>B30+B32</f>
        <v/>
      </c>
    </row>
    <row r="34">
      <c r="A34" s="3" t="inlineStr">
        <is>
          <t>ارزش حقوق صاحبان سهام</t>
        </is>
      </c>
      <c r="B34" s="9">
        <f>B33-B14</f>
        <v/>
      </c>
    </row>
    <row r="35">
      <c r="A35" s="3" t="inlineStr">
        <is>
          <t>ارزش هر سهم (تومان)</t>
        </is>
      </c>
      <c r="B35" s="9">
        <f>B34*1000/B15</f>
        <v/>
      </c>
    </row>
    <row r="37">
      <c r="A37" s="2" t="inlineStr">
        <is>
          <t>اگر WACC کمتر یا برابر رشد بلندمدت باشد، فرمول ارزش پایانی معنا ندارد.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2026-10-29T20:28:32Z</dcterms:created>
  <dcterms:modified xmlns:dcterms="http://purl.org/dc/terms/" xmlns:xsi="http://www.w3.org/2001/XMLSchema-instance" xsi:type="dcterms:W3CDTF">2026-10-29T20:28:32Z</dcterms:modified>
</cp:coreProperties>
</file>